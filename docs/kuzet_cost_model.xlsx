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loud Results" sheetId="2" state="visible" r:id="rId2"/>
    <sheet name="Edge Results" sheetId="3" state="visible" r:id="rId3"/>
    <sheet name="TCO Comparison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#,##0 [$₸-43F]"/>
    <numFmt numFmtId="167" formatCode="$#,##0"/>
    <numFmt numFmtId="168" formatCode="#,##0.0 &quot;M ₸&quot;"/>
  </numFmts>
  <fonts count="8">
    <font>
      <name val="Calibri"/>
      <family val="2"/>
      <color theme="1"/>
      <sz val="11"/>
      <scheme val="minor"/>
    </font>
    <font>
      <name val="Calibri"/>
      <b val="1"/>
      <color rgb="00E11D48"/>
      <sz val="16"/>
    </font>
    <font>
      <name val="Calibri"/>
      <color rgb="00000000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E11D48"/>
      <sz val="14"/>
    </font>
    <font>
      <name val="Calibri"/>
      <b val="1"/>
      <color rgb="00FFFFFF"/>
      <sz val="11"/>
    </font>
    <font>
      <name val="Calibri"/>
      <b val="1"/>
      <color rgb="00E11D48"/>
      <sz val="13"/>
    </font>
  </fonts>
  <fills count="10">
    <fill>
      <patternFill/>
    </fill>
    <fill>
      <patternFill patternType="gray125"/>
    </fill>
    <fill>
      <patternFill patternType="solid">
        <fgColor rgb="00D0E4F7"/>
      </patternFill>
    </fill>
    <fill>
      <patternFill patternType="solid">
        <fgColor rgb="00FFF9C4"/>
      </patternFill>
    </fill>
    <fill>
      <patternFill patternType="solid">
        <fgColor rgb="00FFF3CD"/>
      </patternFill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D7E8D4"/>
      </patternFill>
    </fill>
    <fill>
      <patternFill patternType="solid">
        <fgColor rgb="00FFCCBC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2" fillId="4" borderId="0" applyAlignment="1" pivotButton="0" quotePrefix="0" xfId="0">
      <alignment vertical="center" wrapText="1"/>
    </xf>
    <xf numFmtId="167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pivotButton="0" quotePrefix="0" xfId="0"/>
    <xf numFmtId="166" fontId="3" fillId="6" borderId="1" applyAlignment="1" pivotButton="0" quotePrefix="0" xfId="0">
      <alignment horizontal="right"/>
    </xf>
    <xf numFmtId="0" fontId="7" fillId="0" borderId="0" pivotButton="0" quotePrefix="0" xfId="0"/>
    <xf numFmtId="0" fontId="6" fillId="5" borderId="0" applyAlignment="1" pivotButton="0" quotePrefix="0" xfId="0">
      <alignment horizontal="center"/>
    </xf>
    <xf numFmtId="168" fontId="0" fillId="8" borderId="1" applyAlignment="1" pivotButton="0" quotePrefix="0" xfId="0">
      <alignment horizontal="right"/>
    </xf>
    <xf numFmtId="168" fontId="0" fillId="3" borderId="1" applyAlignment="1" pivotButton="0" quotePrefix="0" xfId="0">
      <alignment horizontal="right"/>
    </xf>
    <xf numFmtId="168" fontId="0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Kuzet AI Model</author>
  </authors>
  <commentList>
    <comment ref="B8" authorId="0" shapeId="0">
      <text>
        <t>720p / 1080p / 4K — affects bitrate &amp; GPU count</t>
      </text>
    </comment>
    <comment ref="B9" authorId="0" shapeId="0">
      <text>
        <t>H.264 ≈ 2–3 Mbps/stream; H.265 ≈ 1–1.5 Mbps/stream</t>
      </text>
    </comment>
    <comment ref="B10" authorId="0" shapeId="0">
      <text>
        <t>H.265@15fps≈1.5; H.264@30fps≈3.0 (source: Reolink / Hikvision)</t>
      </text>
    </comment>
    <comment ref="B13" authorId="0" shapeId="0">
      <text>
        <t>Typical Kazakhstan school calendar</t>
      </text>
    </comment>
    <comment ref="B14" authorId="0" shapeId="0">
      <text>
        <t>07:00–19:00 typical</t>
      </text>
    </comment>
    <comment ref="B16" authorId="0" shapeId="0">
      <text>
        <t>Fraction of cameras that need simultaneous inference. c=0.55 = peak passing-period load. Safety-critical: don't go below 0.50.</t>
      </text>
    </comment>
    <comment ref="B19" authorId="0" shapeId="0">
      <text>
        <t>Official Yandex KZ price-list screenshot, eff. 2026-01-01</t>
      </text>
    </comment>
    <comment ref="B20" authorId="0" shapeId="0">
      <text>
        <t>Official Yandex KZ price-list screenshot, eff. 2026-01-01</t>
      </text>
    </comment>
    <comment ref="B21" authorId="0" shapeId="0">
      <text>
        <t>Official Yandex KZ price-list screenshot, eff. 2026-01-01</t>
      </text>
    </comment>
    <comment ref="B25" authorId="0" shapeId="0">
      <text>
        <t>UNVERIFIED. Yandex CVoS 1-yr typical 15–25%. Confirm at meeting.</t>
      </text>
    </comment>
    <comment ref="B26" authorId="0" shapeId="0">
      <text>
        <t>UNBENCHMARKED. NVIDIA DeepStream T4: 41×1080p30 H.264 (light detector). Current Python stack: ~1–5. Post-TensorRT target: 20–40. CONFIRM AT MEETING.</t>
      </text>
    </comment>
    <comment ref="B31" authorId="0" shapeId="0">
      <text>
        <t>UNVERIFIED. User screenshot, vendor not identified. Confirm vendor SLA, data-residency, and whether minors' video can leave KZ region.</t>
      </text>
    </comment>
    <comment ref="B32" authorId="0" shapeId="0">
      <text>
        <t>UNVERIFIED. Only use if vendor confirmed. Monthly commit vs hourly.</t>
      </text>
    </comment>
    <comment ref="B33" authorId="0" shapeId="0">
      <text>
        <t>UNBENCHMARKED. A100 has ~5 NVDEC units (decode-bound for multi-stream). Post-TensorRT realistic: 50–200. BENCHMARK BEFORE USING.</t>
      </text>
    </comment>
    <comment ref="B36" authorId="0" shapeId="0">
      <text>
        <t>All-in: PC + GPU + NVMe + install/networking. RTX 4070 $599 MSRP (NVIDIA official). Budget option: RTX 4060 Ti 16GB ~$1,280 all-in.</t>
      </text>
    </comment>
    <comment ref="B37" authorId="0" shapeId="0">
      <text>
        <t>₸489.67 on 2026-06-01 (TradingEconomics / National Bank of Kazakhstan). Forecasts: ₸460–503 range. FX risk on hardware purchase.</t>
      </text>
    </comment>
    <comment ref="B38" authorId="0" shapeId="0">
      <text>
        <t>1 box assumes post-optimization pipeline (motion gate + TensorRT). Set to 2 if throughput benchmark shows &lt; 27 streams/box.</t>
      </text>
    </comment>
    <comment ref="B40" authorId="0" shapeId="0">
      <text>
        <t>10% for gaming PC (consumer-grade 24/7 failure rate). 5% for Jetson (industrial). Adjust accordingly.</t>
      </text>
    </comment>
    <comment ref="B41" authorId="0" shapeId="0">
      <text>
        <t>Gaming PC: 150–250W avg (idle ~80W, peak ~300W). Jetson AGX Orin: 15–60W.</t>
      </text>
    </comment>
    <comment ref="B42" authorId="0" shapeId="0">
      <text>
        <t>KZ business rate ≈ ₸36.66/kWh (GlobalPetrolPrices.com, Jun-2025). Confirm who pays: school or Kuzet AI contract.</t>
      </text>
    </comment>
    <comment ref="B43" authorId="0" shapeId="0">
      <text>
        <t>If 1, electricity cost is $0 to Kuzet. If 0, add to Kuzet opex.</t>
      </text>
    </comment>
    <comment ref="B46" authorId="0" shapeId="0">
      <text>
        <t>ESTIMATE: Managed Postgres + Redis + Object Storage + alert egress. ~500k ₸/mo for 1,170 schools. GET OFFICIAL KZT RATES FROM YANDEX.</t>
      </text>
    </comment>
    <comment ref="B47" authorId="0" shapeId="0">
      <text>
        <t>Only events stored (not raw streams). ~10 GB/school/mo at 1 alert/day with 2-min clips. Adjust to actual alert frequency.</t>
      </text>
    </comment>
    <comment ref="B48" authorId="0" shapeId="0">
      <text>
        <t>ESTIMATE. Get official Yandex KZ Object Storage rate at meeting.</t>
      </text>
    </comment>
    <comment ref="B51" authorId="0" shapeId="0">
      <text>
        <t>~8h/week for weekly retrain of distilled skeleton model on reviewed events.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44" customWidth="1" min="4" max="4"/>
  </cols>
  <sheetData>
    <row r="1">
      <c r="A1" s="1" t="inlineStr">
        <is>
          <t>Kuzet AI — Cost Model Inputs</t>
        </is>
      </c>
    </row>
    <row r="2">
      <c r="A2" s="2" t="inlineStr">
        <is>
          <t>Yellow = fill from Yandex meeting  |  Green = auto-calculated  |  Amber = unverified estimate</t>
        </is>
      </c>
    </row>
    <row r="4">
      <c r="A4" s="3" t="inlineStr">
        <is>
          <t>📐 Deployment Scale</t>
        </is>
      </c>
      <c r="B4" s="4" t="n"/>
      <c r="C4" s="4" t="n"/>
      <c r="D4" s="5" t="n"/>
    </row>
    <row r="5">
      <c r="A5" s="6" t="inlineStr">
        <is>
          <t>Total schools</t>
        </is>
      </c>
      <c r="B5" s="7" t="n">
        <v>1170</v>
      </c>
      <c r="C5" s="6" t="inlineStr">
        <is>
          <t>schools</t>
        </is>
      </c>
    </row>
    <row r="6">
      <c r="A6" s="6" t="inlineStr">
        <is>
          <t>Cameras per school (avg)</t>
        </is>
      </c>
      <c r="B6" s="7" t="n">
        <v>27</v>
      </c>
      <c r="C6" s="6" t="inlineStr">
        <is>
          <t>cameras</t>
        </is>
      </c>
    </row>
    <row r="7">
      <c r="A7" s="6" t="inlineStr">
        <is>
          <t>Total camera streams  [= schools × cams]</t>
        </is>
      </c>
      <c r="B7" s="8">
        <f>Inputs!B5*Inputs!B6</f>
        <v/>
      </c>
      <c r="C7" s="6" t="inlineStr">
        <is>
          <t>streams</t>
        </is>
      </c>
    </row>
    <row r="8">
      <c r="A8" s="6" t="inlineStr">
        <is>
          <t>Camera resolution</t>
        </is>
      </c>
      <c r="B8" s="9" t="inlineStr">
        <is>
          <t>1080p</t>
        </is>
      </c>
      <c r="C8" s="6" t="inlineStr"/>
    </row>
    <row r="9">
      <c r="A9" s="6" t="inlineStr">
        <is>
          <t>Video codec</t>
        </is>
      </c>
      <c r="B9" s="9" t="inlineStr">
        <is>
          <t>H.265</t>
        </is>
      </c>
      <c r="C9" s="6" t="inlineStr"/>
    </row>
    <row r="10">
      <c r="A10" s="6" t="inlineStr">
        <is>
          <t>Bitrate per stream (Mbps)</t>
        </is>
      </c>
      <c r="B10" s="10" t="n">
        <v>1.5</v>
      </c>
      <c r="C10" s="6" t="inlineStr">
        <is>
          <t>Mbps</t>
        </is>
      </c>
    </row>
    <row r="12">
      <c r="A12" s="3" t="inlineStr">
        <is>
          <t>⏱  Operating Schedule</t>
        </is>
      </c>
      <c r="B12" s="4" t="n"/>
      <c r="C12" s="4" t="n"/>
      <c r="D12" s="5" t="n"/>
    </row>
    <row r="13">
      <c r="A13" s="6" t="inlineStr">
        <is>
          <t>School days per month</t>
        </is>
      </c>
      <c r="B13" s="11" t="n">
        <v>22</v>
      </c>
      <c r="C13" s="6" t="inlineStr">
        <is>
          <t>days</t>
        </is>
      </c>
    </row>
    <row r="14">
      <c r="A14" s="6" t="inlineStr">
        <is>
          <t>Active hours per school day</t>
        </is>
      </c>
      <c r="B14" s="11" t="n">
        <v>12</v>
      </c>
      <c r="C14" s="6" t="inlineStr">
        <is>
          <t>hours</t>
        </is>
      </c>
    </row>
    <row r="15">
      <c r="A15" s="6" t="inlineStr">
        <is>
          <t>Active hours / month [= days × hrs]</t>
        </is>
      </c>
      <c r="B15" s="8">
        <f>Inputs!B13*Inputs!B14</f>
        <v/>
      </c>
      <c r="C15" s="6" t="inlineStr">
        <is>
          <t>h/mo</t>
        </is>
      </c>
    </row>
    <row r="16">
      <c r="A16" s="6" t="inlineStr">
        <is>
          <t>Concurrency factor (c)</t>
        </is>
      </c>
      <c r="B16" s="12" t="n">
        <v>0.55</v>
      </c>
      <c r="C16" s="6" t="inlineStr"/>
    </row>
    <row r="18">
      <c r="A18" s="3" t="inlineStr">
        <is>
          <t>☁️  Cloud GPU — Yandex T4i (VERIFIED: official KZT price-list, 2026-01-01)</t>
        </is>
      </c>
      <c r="B18" s="4" t="n"/>
      <c r="C18" s="4" t="n"/>
      <c r="D18" s="5" t="n"/>
    </row>
    <row r="19">
      <c r="A19" s="6" t="inlineStr">
        <is>
          <t>T4i GPU rate (₸/GPU·hour)</t>
        </is>
      </c>
      <c r="B19" s="13" t="n">
        <v>1191.0715</v>
      </c>
      <c r="C19" s="6" t="inlineStr">
        <is>
          <t>₸/GPU·h</t>
        </is>
      </c>
    </row>
    <row r="20">
      <c r="A20" s="6" t="inlineStr">
        <is>
          <t>T4i vCPU rate (₸/100%-vCPU·hour)</t>
        </is>
      </c>
      <c r="B20" s="13" t="n">
        <v>8.699999999999999</v>
      </c>
      <c r="C20" s="6" t="inlineStr">
        <is>
          <t>₸/vCPU·h</t>
        </is>
      </c>
    </row>
    <row r="21">
      <c r="A21" s="6" t="inlineStr">
        <is>
          <t>T4i RAM rate (₸/GB·hour)</t>
        </is>
      </c>
      <c r="B21" s="13" t="n">
        <v>2.3304</v>
      </c>
      <c r="C21" s="6" t="inlineStr">
        <is>
          <t>₸/GB·h</t>
        </is>
      </c>
    </row>
    <row r="22">
      <c r="A22" s="6" t="inlineStr">
        <is>
          <t>vCPUs per T4i VM</t>
        </is>
      </c>
      <c r="B22" s="11" t="n">
        <v>8</v>
      </c>
      <c r="C22" s="6" t="inlineStr">
        <is>
          <t>vCPU</t>
        </is>
      </c>
    </row>
    <row r="23">
      <c r="A23" s="6" t="inlineStr">
        <is>
          <t>RAM per T4i VM (GB)</t>
        </is>
      </c>
      <c r="B23" s="11" t="n">
        <v>32</v>
      </c>
      <c r="C23" s="6" t="inlineStr">
        <is>
          <t>GB</t>
        </is>
      </c>
    </row>
    <row r="24">
      <c r="A24" s="6" t="inlineStr">
        <is>
          <t>T4i box total rate (₸/h) [= GPU + vCPU×rate + RAM×rate]</t>
        </is>
      </c>
      <c r="B24" s="14">
        <f>Inputs!B18+Inputs!B19*Inputs!B20+Inputs!B21*Inputs!B22</f>
        <v/>
      </c>
      <c r="C24" s="6" t="inlineStr">
        <is>
          <t>₸/h</t>
        </is>
      </c>
    </row>
    <row r="25">
      <c r="A25" s="6" t="inlineStr">
        <is>
          <t>CVoS discount  ⚠️ ESTIMATE — get from Yandex</t>
        </is>
      </c>
      <c r="B25" s="12" t="n">
        <v>0.2</v>
      </c>
      <c r="C25" s="6" t="inlineStr"/>
    </row>
    <row r="26">
      <c r="A26" s="6" t="inlineStr">
        <is>
          <t>Streams per T4i GPU  (S)  ⚠️ UNBENCHMARKED — get from Yandex</t>
        </is>
      </c>
      <c r="B26" s="11" t="n">
        <v>40</v>
      </c>
      <c r="C26" s="6" t="inlineStr">
        <is>
          <t>streams/GPU</t>
        </is>
      </c>
    </row>
    <row r="28">
      <c r="A28" s="15" t="inlineStr">
        <is>
          <t>⚠️  T4i is the ONLY GPU Yandex offers in the Kazakhstan region today. A100/V100/H100 are Russia-region only (ru-central1). Confirm roadmap at meeting.</t>
        </is>
      </c>
    </row>
    <row r="30">
      <c r="A30" s="3" t="inlineStr">
        <is>
          <t>☁️  Cloud GPU — A100 80GB (⚠️ UNVERIFIED 3rd-party vendor)</t>
        </is>
      </c>
      <c r="B30" s="4" t="n"/>
      <c r="C30" s="4" t="n"/>
      <c r="D30" s="5" t="n"/>
    </row>
    <row r="31">
      <c r="A31" s="6" t="inlineStr">
        <is>
          <t>A100 rate (₸/hour)  ⚠️ UNVERIFIED VENDOR</t>
        </is>
      </c>
      <c r="B31" s="13" t="n">
        <v>2500</v>
      </c>
      <c r="C31" s="6" t="inlineStr">
        <is>
          <t>₸/h</t>
        </is>
      </c>
    </row>
    <row r="32">
      <c r="A32" s="6" t="inlineStr">
        <is>
          <t>A100 monthly commit rate (₸/month)  ⚠️ UNVERIFIED</t>
        </is>
      </c>
      <c r="B32" s="13" t="n">
        <v>890000</v>
      </c>
      <c r="C32" s="6" t="inlineStr">
        <is>
          <t>₸/mo</t>
        </is>
      </c>
    </row>
    <row r="33">
      <c r="A33" s="6" t="inlineStr">
        <is>
          <t>Streams per A100 GPU  (S)  ⚠️ UNBENCHMARKED</t>
        </is>
      </c>
      <c r="B33" s="11" t="n">
        <v>100</v>
      </c>
      <c r="C33" s="6" t="inlineStr">
        <is>
          <t>streams/GPU</t>
        </is>
      </c>
    </row>
    <row r="35">
      <c r="A35" s="3" t="inlineStr">
        <is>
          <t>🖥  Edge Hardware</t>
        </is>
      </c>
      <c r="B35" s="4" t="n"/>
      <c r="C35" s="4" t="n"/>
      <c r="D35" s="5" t="n"/>
    </row>
    <row r="36">
      <c r="A36" s="6" t="inlineStr">
        <is>
          <t>Edge box price (USD/unit)  — Gaming PC RTX 4070 all-in</t>
        </is>
      </c>
      <c r="B36" s="16" t="n">
        <v>1450</v>
      </c>
      <c r="C36" s="6" t="inlineStr">
        <is>
          <t>USD</t>
        </is>
      </c>
    </row>
    <row r="37">
      <c r="A37" s="6" t="inlineStr">
        <is>
          <t>USD → KZT exchange rate</t>
        </is>
      </c>
      <c r="B37" s="11" t="n">
        <v>490</v>
      </c>
      <c r="C37" s="6" t="inlineStr">
        <is>
          <t>₸/$</t>
        </is>
      </c>
    </row>
    <row r="38">
      <c r="A38" s="6" t="inlineStr">
        <is>
          <t>Boxes per school</t>
        </is>
      </c>
      <c r="B38" s="11" t="n">
        <v>1</v>
      </c>
      <c r="C38" s="6" t="inlineStr">
        <is>
          <t>boxes</t>
        </is>
      </c>
    </row>
    <row r="39">
      <c r="A39" s="6" t="inlineStr">
        <is>
          <t>Hardware amortization years</t>
        </is>
      </c>
      <c r="B39" s="11" t="n">
        <v>5</v>
      </c>
      <c r="C39" s="6" t="inlineStr">
        <is>
          <t>years</t>
        </is>
      </c>
    </row>
    <row r="40">
      <c r="A40" s="6" t="inlineStr">
        <is>
          <t>Spare/failure buffer</t>
        </is>
      </c>
      <c r="B40" s="12" t="n">
        <v>0.1</v>
      </c>
      <c r="C40" s="6" t="inlineStr"/>
    </row>
    <row r="41">
      <c r="A41" s="6" t="inlineStr">
        <is>
          <t>Average power draw per box (W)</t>
        </is>
      </c>
      <c r="B41" s="11" t="n">
        <v>200</v>
      </c>
      <c r="C41" s="6" t="inlineStr">
        <is>
          <t>W</t>
        </is>
      </c>
    </row>
    <row r="42">
      <c r="A42" s="6" t="inlineStr">
        <is>
          <t>Electricity rate (₸/kWh)</t>
        </is>
      </c>
      <c r="B42" s="17" t="n">
        <v>36.7</v>
      </c>
      <c r="C42" s="6" t="inlineStr">
        <is>
          <t>₸/kWh</t>
        </is>
      </c>
    </row>
    <row r="43">
      <c r="A43" s="6" t="inlineStr">
        <is>
          <t>School pays electricity? (1=yes, 0=no)</t>
        </is>
      </c>
      <c r="B43" s="11" t="n">
        <v>1</v>
      </c>
      <c r="C43" s="6" t="inlineStr"/>
    </row>
    <row r="45">
      <c r="A45" s="3" t="inlineStr">
        <is>
          <t>☁️  Cloud Non-GPU (Dashboard, DB, Storage, Alerts)  ⚠️ ESTIMATE</t>
        </is>
      </c>
      <c r="B45" s="4" t="n"/>
      <c r="C45" s="4" t="n"/>
      <c r="D45" s="5" t="n"/>
    </row>
    <row r="46">
      <c r="A46" s="6" t="inlineStr">
        <is>
          <t>Cloud non-GPU monthly (₸/mo)  ⚠️ ESTIMATE</t>
        </is>
      </c>
      <c r="B46" s="13" t="n">
        <v>500000</v>
      </c>
      <c r="C46" s="6" t="inlineStr">
        <is>
          <t>₸/mo</t>
        </is>
      </c>
    </row>
    <row r="47">
      <c r="A47" s="6" t="inlineStr">
        <is>
          <t>Event clip storage (GB/school/month)</t>
        </is>
      </c>
      <c r="B47" s="11" t="n">
        <v>10</v>
      </c>
      <c r="C47" s="6" t="inlineStr">
        <is>
          <t>GB/school/mo</t>
        </is>
      </c>
    </row>
    <row r="48">
      <c r="A48" s="6" t="inlineStr">
        <is>
          <t>Object Storage rate (₸/GB·month)  ⚠️ ESTIMATE</t>
        </is>
      </c>
      <c r="B48" s="17" t="n">
        <v>4</v>
      </c>
      <c r="C48" s="6" t="inlineStr">
        <is>
          <t>₸/GB·mo</t>
        </is>
      </c>
    </row>
    <row r="50">
      <c r="A50" s="3" t="inlineStr">
        <is>
          <t>🔁  Cloud GPU Retrain (Scenario A — edge-first only)</t>
        </is>
      </c>
      <c r="B50" s="4" t="n"/>
      <c r="C50" s="4" t="n"/>
      <c r="D50" s="5" t="n"/>
    </row>
    <row r="51">
      <c r="A51" s="6" t="inlineStr">
        <is>
          <t>Retrain GPU hours per week</t>
        </is>
      </c>
      <c r="B51" s="11" t="n">
        <v>8</v>
      </c>
      <c r="C51" s="6" t="inlineStr">
        <is>
          <t>h/week</t>
        </is>
      </c>
    </row>
  </sheetData>
  <mergeCells count="10">
    <mergeCell ref="A1:D1"/>
    <mergeCell ref="A45:D45"/>
    <mergeCell ref="A18:D18"/>
    <mergeCell ref="A12:D12"/>
    <mergeCell ref="A4:D4"/>
    <mergeCell ref="A35:D35"/>
    <mergeCell ref="A50:D50"/>
    <mergeCell ref="A30:D30"/>
    <mergeCell ref="A2:D2"/>
    <mergeCell ref="A28:D2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6" customWidth="1" min="4" max="4"/>
    <col width="36" customWidth="1" min="5" max="5"/>
  </cols>
  <sheetData>
    <row r="1">
      <c r="A1" s="18" t="inlineStr">
        <is>
          <t>Kuzet AI — Cloud Inference Cost (Scenario B)</t>
        </is>
      </c>
    </row>
    <row r="3">
      <c r="A3" s="19" t="inlineStr">
        <is>
          <t>Parameter</t>
        </is>
      </c>
      <c r="B3" s="19" t="inlineStr">
        <is>
          <t>Yandex T4i</t>
        </is>
      </c>
      <c r="C3" s="19" t="inlineStr">
        <is>
          <t>A100 ⚠️ UNVERIF.</t>
        </is>
      </c>
      <c r="D3" s="19" t="inlineStr">
        <is>
          <t>Unit</t>
        </is>
      </c>
      <c r="E3" s="19" t="inlineStr">
        <is>
          <t>Notes</t>
        </is>
      </c>
    </row>
    <row r="4">
      <c r="A4" s="3" t="inlineStr">
        <is>
          <t>Key Inputs (from Inputs sheet)</t>
        </is>
      </c>
      <c r="B4" s="4" t="n"/>
      <c r="C4" s="4" t="n"/>
      <c r="D4" s="4" t="n"/>
      <c r="E4" s="5" t="n"/>
    </row>
    <row r="5">
      <c r="A5" s="6" t="inlineStr">
        <is>
          <t>Total streams</t>
        </is>
      </c>
      <c r="B5" s="20">
        <f>Inputs!B7</f>
        <v/>
      </c>
    </row>
    <row r="6">
      <c r="A6" s="6" t="inlineStr">
        <is>
          <t>Active hours/month</t>
        </is>
      </c>
      <c r="B6" s="20">
        <f>Inputs!B15</f>
        <v/>
      </c>
    </row>
    <row r="7">
      <c r="A7" s="6" t="inlineStr">
        <is>
          <t>Concurrency factor (c)</t>
        </is>
      </c>
      <c r="B7" s="21">
        <f>Inputs!B16</f>
        <v/>
      </c>
    </row>
    <row r="8">
      <c r="A8" s="6" t="inlineStr">
        <is>
          <t>S — streams/T4i (UNBENCHMARKED)</t>
        </is>
      </c>
      <c r="B8" s="20">
        <f>Inputs!B25</f>
        <v/>
      </c>
      <c r="C8" s="20">
        <f>Inputs!B29</f>
        <v/>
      </c>
    </row>
    <row r="9">
      <c r="A9" s="6" t="inlineStr">
        <is>
          <t>CVoS discount</t>
        </is>
      </c>
      <c r="B9" s="21">
        <f>Inputs!B24</f>
        <v/>
      </c>
    </row>
    <row r="11">
      <c r="A11" s="3" t="inlineStr">
        <is>
          <t>Cloud GPU Sizing</t>
        </is>
      </c>
      <c r="B11" s="4" t="n"/>
      <c r="C11" s="4" t="n"/>
      <c r="D11" s="4" t="n"/>
      <c r="E11" s="5" t="n"/>
    </row>
    <row r="12">
      <c r="A12" s="6" t="inlineStr">
        <is>
          <t>Concurrent streams to serve [= total × c]</t>
        </is>
      </c>
      <c r="B12" s="20">
        <f>ROUND(Inputs!B7*Inputs!B16,0)</f>
        <v/>
      </c>
      <c r="C12" s="20">
        <f>ROUND(Inputs!B7*Inputs!B16,0)</f>
        <v/>
      </c>
      <c r="D12" s="6" t="inlineStr">
        <is>
          <t>streams</t>
        </is>
      </c>
      <c r="E12" s="22" t="inlineStr"/>
    </row>
    <row r="13">
      <c r="A13" s="6" t="inlineStr">
        <is>
          <t>GPUs required  [= ceil(concurrent / S)]</t>
        </is>
      </c>
      <c r="B13" s="20">
        <f>CEILING(Inputs!B7*Inputs!B16/Inputs!B25,1)</f>
        <v/>
      </c>
      <c r="C13" s="20">
        <f>CEILING(Inputs!B7*Inputs!B16/Inputs!B29,1)</f>
        <v/>
      </c>
      <c r="D13" s="6" t="inlineStr">
        <is>
          <t>GPUs</t>
        </is>
      </c>
      <c r="E13" s="22" t="inlineStr">
        <is>
          <t>CEILING = always round up (safety-critical)</t>
        </is>
      </c>
    </row>
    <row r="14">
      <c r="A14" s="6" t="inlineStr">
        <is>
          <t>GPU·hours per month  [= GPUs × active_h]</t>
        </is>
      </c>
      <c r="B14" s="23">
        <f>CEILING(Inputs!B7*Inputs!B16/Inputs!B25,1)*Inputs!B15</f>
        <v/>
      </c>
      <c r="C14" s="23">
        <f>CEILING(Inputs!B7*Inputs!B16/Inputs!B29,1)*Inputs!B15</f>
        <v/>
      </c>
      <c r="D14" s="6" t="inlineStr">
        <is>
          <t>GPU·h/mo</t>
        </is>
      </c>
      <c r="E14" s="22" t="inlineStr"/>
    </row>
    <row r="15">
      <c r="A15" s="6" t="inlineStr">
        <is>
          <t>GPU·hours per year</t>
        </is>
      </c>
      <c r="B15" s="23">
        <f>CEILING(Inputs!B7*Inputs!B16/Inputs!B25,1)*Inputs!B15*12</f>
        <v/>
      </c>
      <c r="C15" s="23">
        <f>CEILING(Inputs!B7*Inputs!B16/Inputs!B29,1)*Inputs!B15*12</f>
        <v/>
      </c>
      <c r="D15" s="6" t="inlineStr">
        <is>
          <t>GPU·h/yr</t>
        </is>
      </c>
      <c r="E15" s="22" t="inlineStr"/>
    </row>
    <row r="17">
      <c r="A17" s="3" t="inlineStr">
        <is>
          <t>Cloud GPU Cost (₸)</t>
        </is>
      </c>
      <c r="B17" s="4" t="n"/>
      <c r="C17" s="4" t="n"/>
      <c r="D17" s="4" t="n"/>
      <c r="E17" s="5" t="n"/>
    </row>
    <row r="18">
      <c r="A18" s="6" t="inlineStr">
        <is>
          <t>Monthly GPU cost  [= GPUs × active_h × rate/h × (1−CVoS)]</t>
        </is>
      </c>
      <c r="B18" s="24">
        <f>CEILING(Inputs!B7*Inputs!B16/Inputs!B25,1)*Inputs!B15*Inputs!B23*(1-Inputs!B24)</f>
        <v/>
      </c>
      <c r="C18" s="24">
        <f>CEILING(Inputs!B7*Inputs!B16/Inputs!B29,1)*Inputs!B15*Inputs!B27</f>
        <v/>
      </c>
      <c r="D18" s="6" t="inlineStr">
        <is>
          <t>₸/mo</t>
        </is>
      </c>
      <c r="E18" s="22" t="inlineStr">
        <is>
          <t>A100: hourly × active_h (no CVoS applied — unverified vendor)</t>
        </is>
      </c>
    </row>
    <row r="19">
      <c r="A19" s="6" t="inlineStr">
        <is>
          <t>Annual GPU cost</t>
        </is>
      </c>
      <c r="B19" s="24">
        <f>CEILING(Inputs!B7*Inputs!B16/Inputs!B25,1)*Inputs!B15*12*Inputs!B23*(1-Inputs!B24)</f>
        <v/>
      </c>
      <c r="C19" s="24">
        <f>CEILING(Inputs!B7*Inputs!B16/Inputs!B29,1)*Inputs!B15*12*Inputs!B27</f>
        <v/>
      </c>
      <c r="D19" s="6" t="inlineStr">
        <is>
          <t>₸/yr</t>
        </is>
      </c>
      <c r="E19" s="22" t="inlineStr"/>
    </row>
    <row r="21">
      <c r="A21" s="3" t="inlineStr">
        <is>
          <t>Cloud Non-GPU Cost (₸)</t>
        </is>
      </c>
      <c r="B21" s="4" t="n"/>
      <c r="C21" s="4" t="n"/>
      <c r="D21" s="4" t="n"/>
      <c r="E21" s="5" t="n"/>
    </row>
    <row r="22">
      <c r="A22" s="6" t="inlineStr">
        <is>
          <t>Cloud non-GPU annual  (dashboard/DB/storage/alerts) ⚠️ ESTIMATE</t>
        </is>
      </c>
      <c r="B22" s="24">
        <f>Inputs!B43*12</f>
        <v/>
      </c>
      <c r="C22" s="24">
        <f>Inputs!B43*12</f>
        <v/>
      </c>
      <c r="D22" s="6" t="inlineStr">
        <is>
          <t>₸/yr</t>
        </is>
      </c>
      <c r="E22" s="22" t="inlineStr">
        <is>
          <t>⚠️ ESTIMATE — get official rates from Yandex</t>
        </is>
      </c>
    </row>
    <row r="23">
      <c r="A23" s="6" t="inlineStr">
        <is>
          <t>Event clip storage annual  [= GB/school × schools × rate × 12]</t>
        </is>
      </c>
      <c r="B23" s="24">
        <f>Inputs!B44*Inputs!B5*Inputs!B45*12</f>
        <v/>
      </c>
      <c r="C23" s="24">
        <f>Inputs!B44*Inputs!B5*Inputs!B45*12</f>
        <v/>
      </c>
      <c r="D23" s="6" t="inlineStr">
        <is>
          <t>₸/yr</t>
        </is>
      </c>
      <c r="E23" s="22" t="inlineStr"/>
    </row>
    <row r="25">
      <c r="A25" s="25" t="inlineStr">
        <is>
          <t>TOTAL Cloud Annual Cost (₸)</t>
        </is>
      </c>
      <c r="B25" s="4" t="n"/>
      <c r="C25" s="4" t="n"/>
      <c r="D25" s="4" t="n"/>
      <c r="E25" s="5" t="n"/>
    </row>
    <row r="26">
      <c r="A26" s="6" t="inlineStr">
        <is>
          <t>TOTAL annual (fleet)</t>
        </is>
      </c>
      <c r="B26" s="24">
        <f>CEILING(Inputs!B7*Inputs!B16/Inputs!B25,1)*Inputs!B15*12*Inputs!B23*(1-Inputs!B24)+Inputs!B43*12+Inputs!B44*Inputs!B5*Inputs!B45*12</f>
        <v/>
      </c>
      <c r="C26" s="24">
        <f>CEILING(Inputs!B7*Inputs!B16/Inputs!B29,1)*Inputs!B15*12*Inputs!B27+Inputs!B43*12+Inputs!B44*Inputs!B5*Inputs!B45*12</f>
        <v/>
      </c>
      <c r="D26" s="6" t="inlineStr">
        <is>
          <t>₸/yr</t>
        </is>
      </c>
      <c r="E26" s="22" t="inlineStr"/>
    </row>
    <row r="27">
      <c r="A27" s="6" t="inlineStr">
        <is>
          <t>Per school / year</t>
        </is>
      </c>
      <c r="B27" s="24">
        <f>(CEILING(Inputs!B7*Inputs!B16/Inputs!B25,1)*Inputs!B15*12*Inputs!B23*(1-Inputs!B24)+Inputs!B43*12+Inputs!B44*Inputs!B5*Inputs!B45*12)/Inputs!B5</f>
        <v/>
      </c>
      <c r="C27" s="24">
        <f>(CEILING(Inputs!B7*Inputs!B16/Inputs!B29,1)*Inputs!B15*12*Inputs!B27+Inputs!B43*12+Inputs!B44*Inputs!B5*Inputs!B45*12)/Inputs!B5</f>
        <v/>
      </c>
      <c r="D27" s="6" t="inlineStr">
        <is>
          <t>₸/school/yr</t>
        </is>
      </c>
      <c r="E27" s="22" t="inlineStr"/>
    </row>
    <row r="28">
      <c r="A28" s="6" t="inlineStr">
        <is>
          <t>Per camera / month</t>
        </is>
      </c>
      <c r="B28" s="24">
        <f>(CEILING(Inputs!B7*Inputs!B16/Inputs!B25,1)*Inputs!B15*12*Inputs!B23*(1-Inputs!B24)+Inputs!B43*12+Inputs!B44*Inputs!B5*Inputs!B45*12)/Inputs!B7/12</f>
        <v/>
      </c>
      <c r="C28" s="24">
        <f>(CEILING(Inputs!B7*Inputs!B16/Inputs!B29,1)*Inputs!B15*12*Inputs!B27+Inputs!B43*12+Inputs!B44*Inputs!B5*Inputs!B45*12)/Inputs!B7/12</f>
        <v/>
      </c>
      <c r="D28" s="6" t="inlineStr">
        <is>
          <t>₸/cam/mo</t>
        </is>
      </c>
      <c r="E28" s="22" t="inlineStr"/>
    </row>
    <row r="31" ht="36" customHeight="1">
      <c r="A31" s="15" t="inlineStr">
        <is>
          <t>⚠️  All cloud figures assume S (streams/GPU) is the Inputs!B25/B29 value, which is UNBENCHMARKED. With the current Python/PyTorch code S≈1–5 (10–40× more GPUs, 10–40× more cost). These numbers only apply after a TensorRT/DeepStream rebuild.</t>
        </is>
      </c>
    </row>
  </sheetData>
  <mergeCells count="7">
    <mergeCell ref="A21:E21"/>
    <mergeCell ref="A4:E4"/>
    <mergeCell ref="A25:E25"/>
    <mergeCell ref="A11:E11"/>
    <mergeCell ref="A1:E1"/>
    <mergeCell ref="A31:E3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36" customWidth="1" min="4" max="4"/>
  </cols>
  <sheetData>
    <row r="1">
      <c r="A1" s="18" t="inlineStr">
        <is>
          <t>Kuzet AI — Edge-First Cost (Scenario A)</t>
        </is>
      </c>
    </row>
    <row r="3">
      <c r="A3" s="19" t="inlineStr">
        <is>
          <t>Parameter</t>
        </is>
      </c>
      <c r="B3" s="19" t="inlineStr">
        <is>
          <t>Value</t>
        </is>
      </c>
      <c r="C3" s="19" t="inlineStr">
        <is>
          <t>Unit</t>
        </is>
      </c>
      <c r="D3" s="19" t="inlineStr">
        <is>
          <t>Notes</t>
        </is>
      </c>
    </row>
    <row r="4">
      <c r="A4" s="3" t="inlineStr">
        <is>
          <t>Edge Hardware (one-time capex)</t>
        </is>
      </c>
      <c r="B4" s="4" t="n"/>
      <c r="C4" s="4" t="n"/>
      <c r="D4" s="5" t="n"/>
    </row>
    <row r="5">
      <c r="A5" s="6" t="inlineStr">
        <is>
          <t>Box price in KZT  [= USD × FX]</t>
        </is>
      </c>
      <c r="B5" s="24">
        <f>Inputs!B33*Inputs!B34</f>
        <v/>
      </c>
      <c r="C5" s="6" t="inlineStr">
        <is>
          <t>₸/box</t>
        </is>
      </c>
      <c r="D5" s="22" t="inlineStr">
        <is>
          <t>RTX 4070 gaming PC all-in ~$1,450 → ₸490 FX = ₸710,500</t>
        </is>
      </c>
    </row>
    <row r="6">
      <c r="A6" s="6" t="inlineStr">
        <is>
          <t>Total boxes (1,170 schools × boxes/school)</t>
        </is>
      </c>
      <c r="B6" s="20">
        <f>Inputs!B5*Inputs!B35</f>
        <v/>
      </c>
      <c r="C6" s="6" t="inlineStr">
        <is>
          <t>boxes</t>
        </is>
      </c>
      <c r="D6" s="22" t="inlineStr"/>
    </row>
    <row r="7">
      <c r="A7" s="6" t="inlineStr">
        <is>
          <t>Total hardware capex  [= boxes × price]</t>
        </is>
      </c>
      <c r="B7" s="24">
        <f>Inputs!B5*Inputs!B35*Inputs!B33*Inputs!B34</f>
        <v/>
      </c>
      <c r="C7" s="6" t="inlineStr">
        <is>
          <t>₸</t>
        </is>
      </c>
      <c r="D7" s="22" t="inlineStr">
        <is>
          <t>One-time purchase</t>
        </is>
      </c>
    </row>
    <row r="8">
      <c r="A8" s="6" t="inlineStr">
        <is>
          <t>Capex with spares buffer  [= capex × (1 + spare%)]</t>
        </is>
      </c>
      <c r="B8" s="24">
        <f>Inputs!B5*Inputs!B35*Inputs!B33*Inputs!B34*(1+Inputs!B37)</f>
        <v/>
      </c>
      <c r="C8" s="6" t="inlineStr">
        <is>
          <t>₸</t>
        </is>
      </c>
      <c r="D8" s="22" t="inlineStr"/>
    </row>
    <row r="10">
      <c r="A10" s="3" t="inlineStr">
        <is>
          <t>Annual Edge Hardware Cost (amortized)</t>
        </is>
      </c>
      <c r="B10" s="4" t="n"/>
      <c r="C10" s="4" t="n"/>
      <c r="D10" s="5" t="n"/>
    </row>
    <row r="11">
      <c r="A11" s="6" t="inlineStr">
        <is>
          <t>Annual hardware cost  [= capex with spares ÷ amort years]</t>
        </is>
      </c>
      <c r="B11" s="24">
        <f>Inputs!B5*Inputs!B35*Inputs!B33*Inputs!B34*(1+Inputs!B37)/Inputs!B36</f>
        <v/>
      </c>
      <c r="C11" s="6" t="inlineStr">
        <is>
          <t>₸/yr</t>
        </is>
      </c>
      <c r="D11" s="22" t="inlineStr">
        <is>
          <t>Straight-line, 5-yr</t>
        </is>
      </c>
    </row>
    <row r="13">
      <c r="A13" s="3" t="inlineStr">
        <is>
          <t>Electricity (if Kuzet pays)</t>
        </is>
      </c>
      <c r="B13" s="4" t="n"/>
      <c r="C13" s="4" t="n"/>
      <c r="D13" s="5" t="n"/>
    </row>
    <row r="14">
      <c r="A14" s="6" t="inlineStr">
        <is>
          <t>Annual electricity  [= boxes × W × 8760h × ₸/kWh ÷ 1000]  (if Kuzet pays)</t>
        </is>
      </c>
      <c r="B14" s="24">
        <f>(1-Inputs!B39)*Inputs!B5*Inputs!B35*Inputs!B38*8760*Inputs!B40/1000</f>
        <v/>
      </c>
      <c r="C14" s="6" t="inlineStr">
        <is>
          <t>₸/yr</t>
        </is>
      </c>
      <c r="D14" s="22" t="inlineStr">
        <is>
          <t>If school pays (Inputs!B39=1), this is ₸0. Electricity ₸36.7/kWh (GlobalPetrolPrices, Jun-2025).</t>
        </is>
      </c>
    </row>
    <row r="16">
      <c r="A16" s="3" t="inlineStr">
        <is>
          <t>Cloud Retrain GPU (intermittent)</t>
        </is>
      </c>
      <c r="B16" s="4" t="n"/>
      <c r="C16" s="4" t="n"/>
      <c r="D16" s="5" t="n"/>
    </row>
    <row r="17">
      <c r="A17" s="6" t="inlineStr">
        <is>
          <t>Retrain GPU hours/year  [= h/week × 52]</t>
        </is>
      </c>
      <c r="B17" s="20">
        <f>Inputs!B47*52</f>
        <v/>
      </c>
      <c r="C17" s="6" t="inlineStr">
        <is>
          <t>h/yr</t>
        </is>
      </c>
      <c r="D17" s="22" t="inlineStr"/>
    </row>
    <row r="18">
      <c r="A18" s="6" t="inlineStr">
        <is>
          <t>Retrain GPU cost/year  [= hours × T4i rate/h × (1−CVoS)]</t>
        </is>
      </c>
      <c r="B18" s="24">
        <f>Inputs!B47*52*Inputs!B23*(1-Inputs!B24)</f>
        <v/>
      </c>
      <c r="C18" s="6" t="inlineStr">
        <is>
          <t>₸/yr</t>
        </is>
      </c>
      <c r="D18" s="22" t="inlineStr">
        <is>
          <t>One shared T4i VM, school-hours not relevant (batch, run anytime)</t>
        </is>
      </c>
    </row>
    <row r="20">
      <c r="A20" s="3" t="inlineStr">
        <is>
          <t>Cloud Non-GPU (same as cloud scenario)</t>
        </is>
      </c>
      <c r="B20" s="4" t="n"/>
      <c r="C20" s="4" t="n"/>
      <c r="D20" s="5" t="n"/>
    </row>
    <row r="21">
      <c r="A21" s="6" t="inlineStr">
        <is>
          <t>Cloud non-GPU annual  ⚠️ ESTIMATE</t>
        </is>
      </c>
      <c r="B21" s="24">
        <f>Inputs!B43*12</f>
        <v/>
      </c>
      <c r="C21" s="6" t="inlineStr">
        <is>
          <t>₸/yr</t>
        </is>
      </c>
      <c r="D21" s="22" t="inlineStr">
        <is>
          <t>⚠️ ESTIMATE — dashboard/DB/alerts/storage</t>
        </is>
      </c>
    </row>
    <row r="22">
      <c r="A22" s="6" t="inlineStr">
        <is>
          <t>Event clip storage annual</t>
        </is>
      </c>
      <c r="B22" s="24">
        <f>Inputs!B44*Inputs!B5*Inputs!B45*12</f>
        <v/>
      </c>
      <c r="C22" s="6" t="inlineStr">
        <is>
          <t>₸/yr</t>
        </is>
      </c>
      <c r="D22" s="22" t="inlineStr">
        <is>
          <t>Edge stores locally; cloud only for reviewed/flagged clips</t>
        </is>
      </c>
    </row>
    <row r="24">
      <c r="A24" s="25" t="inlineStr">
        <is>
          <t>TOTAL Edge Annual Cost (₸)</t>
        </is>
      </c>
      <c r="B24" s="4" t="n"/>
      <c r="C24" s="4" t="n"/>
      <c r="D24" s="5" t="n"/>
    </row>
    <row r="25">
      <c r="A25" s="6" t="inlineStr">
        <is>
          <t>TOTAL annual (fleet)</t>
        </is>
      </c>
      <c r="B25" s="24">
        <f>Inputs!B5*Inputs!B35*Inputs!B33*Inputs!B34*(1+Inputs!B37)/Inputs!B36+(1-Inputs!B39)*Inputs!B5*Inputs!B35*Inputs!B38*8760*Inputs!B40/1000+Inputs!B47*52*Inputs!B23*(1-Inputs!B24)+Inputs!B43*12+Inputs!B44*Inputs!B5*Inputs!B45*12</f>
        <v/>
      </c>
      <c r="C25" s="6" t="inlineStr">
        <is>
          <t>₸/yr</t>
        </is>
      </c>
      <c r="D25" s="22" t="inlineStr"/>
    </row>
    <row r="26">
      <c r="A26" s="6" t="inlineStr">
        <is>
          <t>Per school / year</t>
        </is>
      </c>
      <c r="B26" s="24">
        <f>(Inputs!B5*Inputs!B35*Inputs!B33*Inputs!B34*(1+Inputs!B37)/Inputs!B36+(1-Inputs!B39)*Inputs!B5*Inputs!B35*Inputs!B38*8760*Inputs!B40/1000+Inputs!B47*52*Inputs!B23*(1-Inputs!B24)+Inputs!B43*12+Inputs!B44*Inputs!B5*Inputs!B45*12)/Inputs!B5</f>
        <v/>
      </c>
      <c r="C26" s="6" t="inlineStr">
        <is>
          <t>₸/school/yr</t>
        </is>
      </c>
      <c r="D26" s="22" t="inlineStr"/>
    </row>
    <row r="27">
      <c r="A27" s="6" t="inlineStr">
        <is>
          <t>Per camera / month</t>
        </is>
      </c>
      <c r="B27" s="24">
        <f>(Inputs!B5*Inputs!B35*Inputs!B33*Inputs!B34*(1+Inputs!B37)/Inputs!B36+(1-Inputs!B39)*Inputs!B5*Inputs!B35*Inputs!B38*8760*Inputs!B40/1000+Inputs!B47*52*Inputs!B23*(1-Inputs!B24)+Inputs!B43*12+Inputs!B44*Inputs!B5*Inputs!B45*12)/Inputs!B7/12</f>
        <v/>
      </c>
      <c r="C27" s="6" t="inlineStr">
        <is>
          <t>₸/cam/mo</t>
        </is>
      </c>
      <c r="D27" s="22" t="inlineStr"/>
    </row>
    <row r="28">
      <c r="A28" s="6" t="inlineStr">
        <is>
          <t>One-time capex (hardware)</t>
        </is>
      </c>
      <c r="B28" s="24">
        <f>Inputs!B5*Inputs!B35*Inputs!B33*Inputs!B34*(1+Inputs!B37)</f>
        <v/>
      </c>
      <c r="C28" s="6" t="inlineStr">
        <is>
          <t>₸</t>
        </is>
      </c>
      <c r="D28" s="22" t="inlineStr">
        <is>
          <t>Upfront hardware purchase</t>
        </is>
      </c>
    </row>
  </sheetData>
  <mergeCells count="7">
    <mergeCell ref="A1:D1"/>
    <mergeCell ref="A4:D4"/>
    <mergeCell ref="A20:D20"/>
    <mergeCell ref="A24:D24"/>
    <mergeCell ref="A16:D16"/>
    <mergeCell ref="A10:D10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11D48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8" t="inlineStr">
        <is>
          <t>Kuzet AI — 3-yr &amp; 5-yr TCO + Break-Even</t>
        </is>
      </c>
    </row>
    <row r="3">
      <c r="A3" s="19" t="inlineStr">
        <is>
          <t>Year</t>
        </is>
      </c>
      <c r="B3" s="19" t="inlineStr">
        <is>
          <t>Edge Cumulative ₸</t>
        </is>
      </c>
      <c r="C3" s="19" t="inlineStr">
        <is>
          <t>Cloud T4i Cumulative ₸</t>
        </is>
      </c>
      <c r="D3" s="19" t="inlineStr">
        <is>
          <t>Cloud A100 Cumulative ₸</t>
        </is>
      </c>
      <c r="E3" s="19" t="inlineStr">
        <is>
          <t>Edge Annual ₸</t>
        </is>
      </c>
      <c r="F3" s="19" t="inlineStr">
        <is>
          <t>Cloud T4i Annual ₸</t>
        </is>
      </c>
      <c r="G3" s="19" t="inlineStr">
        <is>
          <t>Cloud A100 Annual ₸</t>
        </is>
      </c>
    </row>
    <row r="4">
      <c r="A4" s="26" t="inlineStr">
        <is>
          <t>Year 1</t>
        </is>
      </c>
      <c r="B4" s="24">
        <f>Inputs!B5*Inputs!B35*Inputs!B33*Inputs!B34*(1+Inputs!B37)+Inputs!B5*Inputs!B35*Inputs!B33*Inputs!B34*(1+Inputs!B37)/Inputs!B36+(1-Inputs!B39)*Inputs!B5*Inputs!B35*Inputs!B38*8760*Inputs!B40/1000+Inputs!B47*52*Inputs!B23*(1-Inputs!B24)+Inputs!B43*12+Inputs!B44*Inputs!B5*Inputs!B45*12</f>
        <v/>
      </c>
      <c r="C4" s="24">
        <f>CEILING(Inputs!B7*Inputs!B16/Inputs!B25,1)*Inputs!B15*12*Inputs!B23*(1-Inputs!B24)+Inputs!B43*12+Inputs!B44*Inputs!B5*Inputs!B45*12</f>
        <v/>
      </c>
      <c r="D4" s="24">
        <f>CEILING(Inputs!B7*Inputs!B16/Inputs!B29,1)*Inputs!B15*12*Inputs!B27+Inputs!B43*12+Inputs!B44*Inputs!B5*Inputs!B45*12</f>
        <v/>
      </c>
      <c r="E4" s="24">
        <f>Inputs!B5*Inputs!B35*Inputs!B33*Inputs!B34*(1+Inputs!B37)+Inputs!B5*Inputs!B35*Inputs!B33*Inputs!B34*(1+Inputs!B37)/Inputs!B36+(1-Inputs!B39)*Inputs!B5*Inputs!B35*Inputs!B38*8760*Inputs!B40/1000+Inputs!B47*52*Inputs!B23*(1-Inputs!B24)+Inputs!B43*12+Inputs!B44*Inputs!B5*Inputs!B45*12</f>
        <v/>
      </c>
      <c r="F4" s="24">
        <f>CEILING(Inputs!B7*Inputs!B16/Inputs!B25,1)*Inputs!B15*12*Inputs!B23*(1-Inputs!B24)+Inputs!B43*12+Inputs!B44*Inputs!B5*Inputs!B45*12</f>
        <v/>
      </c>
      <c r="G4" s="24">
        <f>CEILING(Inputs!B7*Inputs!B16/Inputs!B29,1)*Inputs!B15*12*Inputs!B27+Inputs!B43*12+Inputs!B44*Inputs!B5*Inputs!B45*12</f>
        <v/>
      </c>
    </row>
    <row r="5">
      <c r="A5" s="26" t="inlineStr">
        <is>
          <t>Year 2</t>
        </is>
      </c>
      <c r="B5" s="24">
        <f>TCO!B4+Inputs!B5*Inputs!B35*Inputs!B33*Inputs!B34*(1+Inputs!B37)/Inputs!B36+(1-Inputs!B39)*Inputs!B5*Inputs!B35*Inputs!B38*8760*Inputs!B40/1000+Inputs!B47*52*Inputs!B23*(1-Inputs!B24)+Inputs!B43*12+Inputs!B44*Inputs!B5*Inputs!B45*12</f>
        <v/>
      </c>
      <c r="C5" s="24">
        <f>TCO!C4+CEILING(Inputs!B7*Inputs!B16/Inputs!B25,1)*Inputs!B15*12*Inputs!B23*(1-Inputs!B24)+Inputs!B43*12+Inputs!B44*Inputs!B5*Inputs!B45*12</f>
        <v/>
      </c>
      <c r="D5" s="24">
        <f>TCO!D4+CEILING(Inputs!B7*Inputs!B16/Inputs!B29,1)*Inputs!B15*12*Inputs!B27+Inputs!B43*12+Inputs!B44*Inputs!B5*Inputs!B45*12</f>
        <v/>
      </c>
      <c r="E5" s="24">
        <f>Inputs!B5*Inputs!B35*Inputs!B33*Inputs!B34*(1+Inputs!B37)/Inputs!B36+(1-Inputs!B39)*Inputs!B5*Inputs!B35*Inputs!B38*8760*Inputs!B40/1000+Inputs!B47*52*Inputs!B23*(1-Inputs!B24)+Inputs!B43*12+Inputs!B44*Inputs!B5*Inputs!B45*12</f>
        <v/>
      </c>
      <c r="F5" s="24">
        <f>CEILING(Inputs!B7*Inputs!B16/Inputs!B25,1)*Inputs!B15*12*Inputs!B23*(1-Inputs!B24)+Inputs!B43*12+Inputs!B44*Inputs!B5*Inputs!B45*12</f>
        <v/>
      </c>
      <c r="G5" s="24">
        <f>CEILING(Inputs!B7*Inputs!B16/Inputs!B29,1)*Inputs!B15*12*Inputs!B27+Inputs!B43*12+Inputs!B44*Inputs!B5*Inputs!B45*12</f>
        <v/>
      </c>
    </row>
    <row r="6">
      <c r="A6" s="26" t="inlineStr">
        <is>
          <t>Year 3</t>
        </is>
      </c>
      <c r="B6" s="24">
        <f>TCO!B5+Inputs!B5*Inputs!B35*Inputs!B33*Inputs!B34*(1+Inputs!B37)/Inputs!B36+(1-Inputs!B39)*Inputs!B5*Inputs!B35*Inputs!B38*8760*Inputs!B40/1000+Inputs!B47*52*Inputs!B23*(1-Inputs!B24)+Inputs!B43*12+Inputs!B44*Inputs!B5*Inputs!B45*12</f>
        <v/>
      </c>
      <c r="C6" s="24">
        <f>TCO!C5+CEILING(Inputs!B7*Inputs!B16/Inputs!B25,1)*Inputs!B15*12*Inputs!B23*(1-Inputs!B24)+Inputs!B43*12+Inputs!B44*Inputs!B5*Inputs!B45*12</f>
        <v/>
      </c>
      <c r="D6" s="24">
        <f>TCO!D5+CEILING(Inputs!B7*Inputs!B16/Inputs!B29,1)*Inputs!B15*12*Inputs!B27+Inputs!B43*12+Inputs!B44*Inputs!B5*Inputs!B45*12</f>
        <v/>
      </c>
      <c r="E6" s="24">
        <f>Inputs!B5*Inputs!B35*Inputs!B33*Inputs!B34*(1+Inputs!B37)/Inputs!B36+(1-Inputs!B39)*Inputs!B5*Inputs!B35*Inputs!B38*8760*Inputs!B40/1000+Inputs!B47*52*Inputs!B23*(1-Inputs!B24)+Inputs!B43*12+Inputs!B44*Inputs!B5*Inputs!B45*12</f>
        <v/>
      </c>
      <c r="F6" s="24">
        <f>CEILING(Inputs!B7*Inputs!B16/Inputs!B25,1)*Inputs!B15*12*Inputs!B23*(1-Inputs!B24)+Inputs!B43*12+Inputs!B44*Inputs!B5*Inputs!B45*12</f>
        <v/>
      </c>
      <c r="G6" s="24">
        <f>CEILING(Inputs!B7*Inputs!B16/Inputs!B29,1)*Inputs!B15*12*Inputs!B27+Inputs!B43*12+Inputs!B44*Inputs!B5*Inputs!B45*12</f>
        <v/>
      </c>
    </row>
    <row r="7">
      <c r="A7" s="26" t="inlineStr">
        <is>
          <t>Year 4</t>
        </is>
      </c>
      <c r="B7" s="24">
        <f>TCO!B6+Inputs!B5*Inputs!B35*Inputs!B33*Inputs!B34*(1+Inputs!B37)/Inputs!B36+(1-Inputs!B39)*Inputs!B5*Inputs!B35*Inputs!B38*8760*Inputs!B40/1000+Inputs!B47*52*Inputs!B23*(1-Inputs!B24)+Inputs!B43*12+Inputs!B44*Inputs!B5*Inputs!B45*12</f>
        <v/>
      </c>
      <c r="C7" s="24">
        <f>TCO!C6+CEILING(Inputs!B7*Inputs!B16/Inputs!B25,1)*Inputs!B15*12*Inputs!B23*(1-Inputs!B24)+Inputs!B43*12+Inputs!B44*Inputs!B5*Inputs!B45*12</f>
        <v/>
      </c>
      <c r="D7" s="24">
        <f>TCO!D6+CEILING(Inputs!B7*Inputs!B16/Inputs!B29,1)*Inputs!B15*12*Inputs!B27+Inputs!B43*12+Inputs!B44*Inputs!B5*Inputs!B45*12</f>
        <v/>
      </c>
      <c r="E7" s="24">
        <f>Inputs!B5*Inputs!B35*Inputs!B33*Inputs!B34*(1+Inputs!B37)/Inputs!B36+(1-Inputs!B39)*Inputs!B5*Inputs!B35*Inputs!B38*8760*Inputs!B40/1000+Inputs!B47*52*Inputs!B23*(1-Inputs!B24)+Inputs!B43*12+Inputs!B44*Inputs!B5*Inputs!B45*12</f>
        <v/>
      </c>
      <c r="F7" s="24">
        <f>CEILING(Inputs!B7*Inputs!B16/Inputs!B25,1)*Inputs!B15*12*Inputs!B23*(1-Inputs!B24)+Inputs!B43*12+Inputs!B44*Inputs!B5*Inputs!B45*12</f>
        <v/>
      </c>
      <c r="G7" s="24">
        <f>CEILING(Inputs!B7*Inputs!B16/Inputs!B29,1)*Inputs!B15*12*Inputs!B27+Inputs!B43*12+Inputs!B44*Inputs!B5*Inputs!B45*12</f>
        <v/>
      </c>
    </row>
    <row r="8">
      <c r="A8" s="26" t="inlineStr">
        <is>
          <t>Year 5</t>
        </is>
      </c>
      <c r="B8" s="24">
        <f>TCO!B7+Inputs!B5*Inputs!B35*Inputs!B33*Inputs!B34*(1+Inputs!B37)/Inputs!B36+(1-Inputs!B39)*Inputs!B5*Inputs!B35*Inputs!B38*8760*Inputs!B40/1000+Inputs!B47*52*Inputs!B23*(1-Inputs!B24)+Inputs!B43*12+Inputs!B44*Inputs!B5*Inputs!B45*12</f>
        <v/>
      </c>
      <c r="C8" s="24">
        <f>TCO!C7+CEILING(Inputs!B7*Inputs!B16/Inputs!B25,1)*Inputs!B15*12*Inputs!B23*(1-Inputs!B24)+Inputs!B43*12+Inputs!B44*Inputs!B5*Inputs!B45*12</f>
        <v/>
      </c>
      <c r="D8" s="24">
        <f>TCO!D7+CEILING(Inputs!B7*Inputs!B16/Inputs!B29,1)*Inputs!B15*12*Inputs!B27+Inputs!B43*12+Inputs!B44*Inputs!B5*Inputs!B45*12</f>
        <v/>
      </c>
      <c r="E8" s="24">
        <f>Inputs!B5*Inputs!B35*Inputs!B33*Inputs!B34*(1+Inputs!B37)/Inputs!B36+(1-Inputs!B39)*Inputs!B5*Inputs!B35*Inputs!B38*8760*Inputs!B40/1000+Inputs!B47*52*Inputs!B23*(1-Inputs!B24)+Inputs!B43*12+Inputs!B44*Inputs!B5*Inputs!B45*12</f>
        <v/>
      </c>
      <c r="F8" s="24">
        <f>CEILING(Inputs!B7*Inputs!B16/Inputs!B25,1)*Inputs!B15*12*Inputs!B23*(1-Inputs!B24)+Inputs!B43*12+Inputs!B44*Inputs!B5*Inputs!B45*12</f>
        <v/>
      </c>
      <c r="G8" s="24">
        <f>CEILING(Inputs!B7*Inputs!B16/Inputs!B29,1)*Inputs!B15*12*Inputs!B27+Inputs!B43*12+Inputs!B44*Inputs!B5*Inputs!B45*12</f>
        <v/>
      </c>
    </row>
    <row r="10">
      <c r="A10" s="3" t="inlineStr">
        <is>
          <t>Summary</t>
        </is>
      </c>
      <c r="B10" s="4" t="n"/>
      <c r="C10" s="4" t="n"/>
      <c r="D10" s="4" t="n"/>
      <c r="E10" s="4" t="n"/>
      <c r="F10" s="4" t="n"/>
      <c r="G10" s="5" t="n"/>
    </row>
    <row r="11">
      <c r="A11" s="27" t="inlineStr">
        <is>
          <t>3-yr TCO Edge</t>
        </is>
      </c>
      <c r="B11" s="28" t="inlineStr">
        <is>
          <t>3-yr TCO T4i</t>
        </is>
      </c>
      <c r="C11" s="28" t="inlineStr">
        <is>
          <t>3-yr TCO A100</t>
        </is>
      </c>
      <c r="D11" s="24">
        <f>TCO!D8</f>
        <v/>
      </c>
    </row>
    <row r="12">
      <c r="A12" s="27" t="inlineStr">
        <is>
          <t>5-yr TCO Edge</t>
        </is>
      </c>
      <c r="B12" s="28" t="inlineStr">
        <is>
          <t>5-yr TCO T4i</t>
        </is>
      </c>
      <c r="C12" s="28" t="inlineStr">
        <is>
          <t>5-yr TCO A100</t>
        </is>
      </c>
      <c r="D12" s="24">
        <f>TCO!D8</f>
        <v/>
      </c>
    </row>
    <row r="14" ht="42" customHeight="1">
      <c r="A14" s="15" t="inlineStr">
        <is>
          <t>⚠️  Break-even depends on S (streams/GPU) and CVoS — both unverified. Cloud is opex-heavy (no upfront); edge is capex-heavy (large upfront + low opex). At default inputs, edge breaks even vs cloud T4i around Year 1–2.</t>
        </is>
      </c>
    </row>
  </sheetData>
  <mergeCells count="3">
    <mergeCell ref="A14:G14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9" t="inlineStr">
        <is>
          <t>Kuzet AI — Sensitivity: Cloud T4i Annual Cost vs S and Concurrency</t>
        </is>
      </c>
    </row>
    <row r="2">
      <c r="A2" s="2" t="inlineStr">
        <is>
          <t>All figures in millions of ₸/year. Fixed inputs: school-hours 264h/mo, CVoS from Inputs!B24, non-GPU from Inputs!B43.</t>
        </is>
      </c>
    </row>
    <row r="4">
      <c r="A4" s="27" t="inlineStr">
        <is>
          <t>S →  /  c ↓</t>
        </is>
      </c>
      <c r="B4" s="30" t="inlineStr">
        <is>
          <t>S=5</t>
        </is>
      </c>
      <c r="C4" s="30" t="inlineStr">
        <is>
          <t>S=10</t>
        </is>
      </c>
      <c r="D4" s="30" t="inlineStr">
        <is>
          <t>S=20</t>
        </is>
      </c>
      <c r="E4" s="30" t="inlineStr">
        <is>
          <t>S=40</t>
        </is>
      </c>
      <c r="F4" s="30" t="inlineStr">
        <is>
          <t>S=60</t>
        </is>
      </c>
      <c r="G4" s="30" t="inlineStr">
        <is>
          <t>S=80</t>
        </is>
      </c>
      <c r="H4" s="30" t="inlineStr">
        <is>
          <t>S=100</t>
        </is>
      </c>
    </row>
    <row r="5">
      <c r="A5" s="27" t="inlineStr">
        <is>
          <t>c=40%</t>
        </is>
      </c>
      <c r="B5" s="31" t="n">
        <v>8560.799999999999</v>
      </c>
      <c r="C5" s="31" t="n">
        <v>4283.4</v>
      </c>
      <c r="D5" s="31" t="n">
        <v>2144.7</v>
      </c>
      <c r="E5" s="32" t="n">
        <v>1075.4</v>
      </c>
      <c r="F5" s="32" t="n">
        <v>720</v>
      </c>
      <c r="G5" s="32" t="n">
        <v>540.7</v>
      </c>
      <c r="H5" s="33" t="n">
        <v>435.8</v>
      </c>
    </row>
    <row r="6">
      <c r="A6" s="27" t="inlineStr">
        <is>
          <t>c=50%</t>
        </is>
      </c>
      <c r="B6" s="31" t="n">
        <v>10696.2</v>
      </c>
      <c r="C6" s="31" t="n">
        <v>5352.8</v>
      </c>
      <c r="D6" s="31" t="n">
        <v>2679.4</v>
      </c>
      <c r="E6" s="32" t="n">
        <v>1342.7</v>
      </c>
      <c r="F6" s="32" t="n">
        <v>899.4</v>
      </c>
      <c r="G6" s="32" t="n">
        <v>676</v>
      </c>
      <c r="H6" s="32" t="n">
        <v>540.7</v>
      </c>
    </row>
    <row r="7">
      <c r="A7" s="27" t="inlineStr">
        <is>
          <t>c=60%</t>
        </is>
      </c>
      <c r="B7" s="31" t="n">
        <v>12834.9</v>
      </c>
      <c r="C7" s="31" t="n">
        <v>6422.1</v>
      </c>
      <c r="D7" s="31" t="n">
        <v>3214.1</v>
      </c>
      <c r="E7" s="32" t="n">
        <v>1610</v>
      </c>
      <c r="F7" s="32" t="n">
        <v>1075.4</v>
      </c>
      <c r="G7" s="32" t="n">
        <v>808</v>
      </c>
      <c r="H7" s="32" t="n">
        <v>649</v>
      </c>
    </row>
    <row r="8">
      <c r="A8" s="27" t="inlineStr">
        <is>
          <t>c=70%</t>
        </is>
      </c>
      <c r="B8" s="31" t="n">
        <v>14973.6</v>
      </c>
      <c r="C8" s="31" t="n">
        <v>7491.5</v>
      </c>
      <c r="D8" s="31" t="n">
        <v>3748.7</v>
      </c>
      <c r="E8" s="32" t="n">
        <v>1877.4</v>
      </c>
      <c r="F8" s="32" t="n">
        <v>1254.7</v>
      </c>
      <c r="G8" s="32" t="n">
        <v>943.4</v>
      </c>
      <c r="H8" s="32" t="n">
        <v>757.3</v>
      </c>
    </row>
    <row r="9">
      <c r="A9" s="27" t="inlineStr">
        <is>
          <t>c=80%</t>
        </is>
      </c>
      <c r="B9" s="31" t="n">
        <v>17112.3</v>
      </c>
      <c r="C9" s="31" t="n">
        <v>8560.799999999999</v>
      </c>
      <c r="D9" s="31" t="n">
        <v>4283.4</v>
      </c>
      <c r="E9" s="31" t="n">
        <v>2144.7</v>
      </c>
      <c r="F9" s="32" t="n">
        <v>1434.1</v>
      </c>
      <c r="G9" s="32" t="n">
        <v>1075.4</v>
      </c>
      <c r="H9" s="32" t="n">
        <v>862.2</v>
      </c>
    </row>
    <row r="10">
      <c r="A10" s="27" t="inlineStr">
        <is>
          <t>c=100%</t>
        </is>
      </c>
      <c r="B10" s="31" t="n">
        <v>21386.3</v>
      </c>
      <c r="C10" s="31" t="n">
        <v>10696.2</v>
      </c>
      <c r="D10" s="31" t="n">
        <v>5352.8</v>
      </c>
      <c r="E10" s="31" t="n">
        <v>2679.4</v>
      </c>
      <c r="F10" s="32" t="n">
        <v>1789.4</v>
      </c>
      <c r="G10" s="32" t="n">
        <v>1342.7</v>
      </c>
      <c r="H10" s="32" t="n">
        <v>1075.4</v>
      </c>
    </row>
    <row r="12">
      <c r="A12" s="15" t="inlineStr">
        <is>
          <t>Green &lt; 500M ₸/yr  |  Yellow 500M–2B  |  Red &gt; 2B. CVoS=20% and S values are ESTIMATES. Confirm both with Yandex expert.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2026-06-03T09:05:51Z</dcterms:created>
  <dcterms:modified xsi:type="dcterms:W3CDTF">2026-06-03T09:05:51Z</dcterms:modified>
</cp:coreProperties>
</file>